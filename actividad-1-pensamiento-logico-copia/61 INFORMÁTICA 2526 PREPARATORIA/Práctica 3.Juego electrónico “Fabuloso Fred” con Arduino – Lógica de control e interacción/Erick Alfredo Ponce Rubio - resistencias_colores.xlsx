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ódigos" sheetId="1" r:id="rId5"/>
    <sheet state="visible" name="Resistencias" sheetId="2" r:id="rId6"/>
  </sheets>
  <definedNames>
    <definedName hidden="1" localSheetId="0" name="Z_946B5237_CAA8_4C62_941D_D21A0E0EA77A_.wvu.FilterData">'Códigos'!$A$1:$E$13</definedName>
    <definedName hidden="1" localSheetId="1" name="Z_9B95341B_742C_4AC6_94F0_EF6081A2C08E_.wvu.FilterData">Resistencias!$A$1:$I$11</definedName>
  </definedNames>
  <calcPr/>
  <customWorkbookViews>
    <customWorkbookView activeSheetId="0" maximized="1" windowHeight="0" windowWidth="0" guid="{946B5237-CAA8-4C62-941D-D21A0E0EA77A}" name="Tabla2 filter view"/>
    <customWorkbookView activeSheetId="0" maximized="1" windowHeight="0" windowWidth="0" guid="{9B95341B-742C-4AC6-94F0-EF6081A2C08E}" name="Tabla3 filter view"/>
  </customWorkbookViews>
</workbook>
</file>

<file path=xl/sharedStrings.xml><?xml version="1.0" encoding="utf-8"?>
<sst xmlns="http://schemas.openxmlformats.org/spreadsheetml/2006/main" count="51" uniqueCount="39">
  <si>
    <t>Color</t>
  </si>
  <si>
    <t>Digito</t>
  </si>
  <si>
    <t>Multiplicador</t>
  </si>
  <si>
    <t>Tolerancia_%</t>
  </si>
  <si>
    <t>TCR_ppm</t>
  </si>
  <si>
    <t>Negro</t>
  </si>
  <si>
    <t>Marrón</t>
  </si>
  <si>
    <t>Rojo</t>
  </si>
  <si>
    <t>Naranja</t>
  </si>
  <si>
    <t>Amarillo</t>
  </si>
  <si>
    <t>Verde</t>
  </si>
  <si>
    <t>Azul</t>
  </si>
  <si>
    <t>Violeta</t>
  </si>
  <si>
    <t>Gris</t>
  </si>
  <si>
    <t>Blanco</t>
  </si>
  <si>
    <t>Dorado</t>
  </si>
  <si>
    <t>Plateado</t>
  </si>
  <si>
    <t>Columna1</t>
  </si>
  <si>
    <t>Columna2</t>
  </si>
  <si>
    <t>Columna3</t>
  </si>
  <si>
    <t>Columna4</t>
  </si>
  <si>
    <t>Columna5</t>
  </si>
  <si>
    <t>Columna6</t>
  </si>
  <si>
    <t>Columna7</t>
  </si>
  <si>
    <t>Columna8</t>
  </si>
  <si>
    <t>Columna9</t>
  </si>
  <si>
    <t>Banda 1</t>
  </si>
  <si>
    <t>Banda 2</t>
  </si>
  <si>
    <t>Banda 3 (Multiplicador)</t>
  </si>
  <si>
    <t>Resultado (ohmios)</t>
  </si>
  <si>
    <t>Banda 4 (Tolerancia)</t>
  </si>
  <si>
    <t>Tolerancia %</t>
  </si>
  <si>
    <t>Mínimo</t>
  </si>
  <si>
    <t>Máximo</t>
  </si>
  <si>
    <t>Banda 3</t>
  </si>
  <si>
    <t>Banda 4 (Multiplicador)</t>
  </si>
  <si>
    <t>Banda 5 (Tolerancia)</t>
  </si>
  <si>
    <t>Banda 6 (TCR)</t>
  </si>
  <si>
    <t>TCR ppm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</si>
</sst>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20.0"/>
      <color rgb="FFFFFFFF"/>
      <name val="Calibri"/>
    </font>
    <font>
      <b/>
      <sz val="20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E5B8B7"/>
          <bgColor rgb="FFE5B8B7"/>
        </patternFill>
      </fill>
      <border/>
    </dxf>
    <dxf>
      <font/>
      <fill>
        <patternFill patternType="solid">
          <fgColor rgb="FFF2DBDB"/>
          <bgColor rgb="FFF2DBDB"/>
        </patternFill>
      </fill>
      <border/>
    </dxf>
    <dxf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</dxfs>
  <tableStyles count="2">
    <tableStyle count="4" pivot="0" name="Códig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esistencias-style">
      <tableStyleElement dxfId="5" type="headerRow"/>
      <tableStyleElement dxfId="6" type="firstRowStripe"/>
      <tableStyleElement dxfId="5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E13" displayName="Tabla2" name="Tabla2" id="1">
  <tableColumns count="5">
    <tableColumn name="Color" id="1"/>
    <tableColumn name="Digito" id="2"/>
    <tableColumn name="Multiplicador" id="3"/>
    <tableColumn name="Tolerancia_%" id="4"/>
    <tableColumn name="TCR_ppm" id="5"/>
  </tableColumns>
  <tableStyleInfo name="Códigos-style" showColumnStripes="0" showFirstColumn="1" showLastColumn="1" showRowStripes="1"/>
</table>
</file>

<file path=xl/tables/table2.xml><?xml version="1.0" encoding="utf-8"?>
<table xmlns="http://schemas.openxmlformats.org/spreadsheetml/2006/main" ref="A1:I11" displayName="Tabla3" name="Tabla3" id="2">
  <tableColumns count="9">
    <tableColumn name="Columna1" id="1"/>
    <tableColumn name="Columna2" id="2"/>
    <tableColumn name="Columna3" id="3"/>
    <tableColumn name="Columna4" id="4"/>
    <tableColumn name="Columna5" id="5"/>
    <tableColumn name="Columna6" id="6"/>
    <tableColumn name="Columna7" id="7"/>
    <tableColumn name="Columna8" id="8"/>
    <tableColumn name="Columna9" id="9"/>
  </tableColumns>
  <tableStyleInfo name="Resistencia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32.0"/>
  </cols>
  <sheetData>
    <row r="1" ht="60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60.75" customHeight="1">
      <c r="A2" s="3" t="s">
        <v>5</v>
      </c>
      <c r="B2" s="3">
        <v>0.0</v>
      </c>
      <c r="C2" s="3">
        <v>1.0</v>
      </c>
      <c r="D2" s="3"/>
      <c r="E2" s="3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60.75" customHeight="1">
      <c r="A3" s="3" t="s">
        <v>6</v>
      </c>
      <c r="B3" s="3">
        <v>1.0</v>
      </c>
      <c r="C3" s="3">
        <v>10.0</v>
      </c>
      <c r="D3" s="3">
        <v>1.0</v>
      </c>
      <c r="E3" s="3">
        <v>100.0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60.75" customHeight="1">
      <c r="A4" s="3" t="s">
        <v>7</v>
      </c>
      <c r="B4" s="3">
        <v>2.0</v>
      </c>
      <c r="C4" s="3">
        <v>100.0</v>
      </c>
      <c r="D4" s="3">
        <v>2.0</v>
      </c>
      <c r="E4" s="3">
        <v>50.0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60.75" customHeight="1">
      <c r="A5" s="3" t="s">
        <v>8</v>
      </c>
      <c r="B5" s="3">
        <v>3.0</v>
      </c>
      <c r="C5" s="3">
        <v>1000.0</v>
      </c>
      <c r="D5" s="3"/>
      <c r="E5" s="3">
        <v>15.0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60.75" customHeight="1">
      <c r="A6" s="3" t="s">
        <v>9</v>
      </c>
      <c r="B6" s="3">
        <v>4.0</v>
      </c>
      <c r="C6" s="3">
        <v>10000.0</v>
      </c>
      <c r="D6" s="3"/>
      <c r="E6" s="3">
        <v>25.0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60.75" customHeight="1">
      <c r="A7" s="3" t="s">
        <v>10</v>
      </c>
      <c r="B7" s="3">
        <v>5.0</v>
      </c>
      <c r="C7" s="3">
        <v>100000.0</v>
      </c>
      <c r="D7" s="3">
        <v>0.5</v>
      </c>
      <c r="E7" s="3">
        <v>20.0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60.75" customHeight="1">
      <c r="A8" s="3" t="s">
        <v>11</v>
      </c>
      <c r="B8" s="3">
        <v>6.0</v>
      </c>
      <c r="C8" s="3">
        <v>1000000.0</v>
      </c>
      <c r="D8" s="3">
        <v>0.25</v>
      </c>
      <c r="E8" s="3">
        <v>10.0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60.75" customHeight="1">
      <c r="A9" s="3" t="s">
        <v>12</v>
      </c>
      <c r="B9" s="3">
        <v>7.0</v>
      </c>
      <c r="C9" s="3">
        <v>1.0E7</v>
      </c>
      <c r="D9" s="3">
        <v>0.1</v>
      </c>
      <c r="E9" s="3">
        <v>5.0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60.75" customHeight="1">
      <c r="A10" s="3" t="s">
        <v>13</v>
      </c>
      <c r="B10" s="3">
        <v>8.0</v>
      </c>
      <c r="C10" s="3">
        <v>1.0E8</v>
      </c>
      <c r="D10" s="3">
        <v>0.05</v>
      </c>
      <c r="E10" s="3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60.75" customHeight="1">
      <c r="A11" s="3" t="s">
        <v>14</v>
      </c>
      <c r="B11" s="3">
        <v>9.0</v>
      </c>
      <c r="C11" s="3">
        <v>1.0E9</v>
      </c>
      <c r="D11" s="3"/>
      <c r="E11" s="3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60.75" customHeight="1">
      <c r="A12" s="3" t="s">
        <v>15</v>
      </c>
      <c r="B12" s="3"/>
      <c r="C12" s="3">
        <v>0.1</v>
      </c>
      <c r="D12" s="3">
        <v>5.0</v>
      </c>
      <c r="E12" s="3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60.75" customHeight="1">
      <c r="A13" s="3" t="s">
        <v>16</v>
      </c>
      <c r="B13" s="3"/>
      <c r="C13" s="3">
        <v>0.01</v>
      </c>
      <c r="D13" s="3">
        <v>10.0</v>
      </c>
      <c r="E13" s="3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60.75" customHeigh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60.7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60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60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60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60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60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60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60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60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60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60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60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60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60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60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60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60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60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60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60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60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60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60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60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60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60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60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60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60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60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60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60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60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60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60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60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60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60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60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60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60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60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60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60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60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60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60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60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60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60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60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60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60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60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60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60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60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60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60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60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60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60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60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60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60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60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60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60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60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60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60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60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60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60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60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60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60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60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60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60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60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60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60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60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60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60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60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60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60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60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60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60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60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60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60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60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60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60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60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60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60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60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60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60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60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60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60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60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60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60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60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60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60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60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60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60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60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60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60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60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60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60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60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60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60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60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60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60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60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60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60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60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60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60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60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60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60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60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60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60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60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60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60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60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60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60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60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60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60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60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60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60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60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60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60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60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60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60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60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60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60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60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60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60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60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60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60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60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60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60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60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60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60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60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60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60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60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60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60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60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60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60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60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60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60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60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60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60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60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60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60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60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60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60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60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60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60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60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60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60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60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60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60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60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60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60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60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60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60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60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60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60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60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60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60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60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60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60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60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60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60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60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60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60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60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60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60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60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60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60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60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60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60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60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60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60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60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60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60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60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60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60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60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60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60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60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60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60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60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60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60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60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60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60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60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60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60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60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60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60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60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60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60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60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60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60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60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60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60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60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60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60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60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60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60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60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60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60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60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60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60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60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60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60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60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60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60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60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60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60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60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60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60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60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60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60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60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60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60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60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60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60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60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60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60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60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60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60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60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60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60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60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60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60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60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60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60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60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60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60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60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60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60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60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60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60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60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60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60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60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60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60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60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60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60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60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60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60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60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60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60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60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60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60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60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60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60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60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60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60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60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60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60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60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60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60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60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60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60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60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60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60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60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60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60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60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60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60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60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60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60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60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60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60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60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60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60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60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60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60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60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60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60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60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60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60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60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60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60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60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60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60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60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60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60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60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60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60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60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60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60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60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60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60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60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60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60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60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60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60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60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60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60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60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60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60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60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60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60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60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60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60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60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60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60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60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60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60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60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60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60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60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60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60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60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60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60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60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60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60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60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60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60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60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60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60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60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60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60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60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60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60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60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60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60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60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60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60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60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60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60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60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60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60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60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60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60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60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60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60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60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60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60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60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60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60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60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60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60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60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60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60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60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60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60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60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60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60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60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60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60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60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60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60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60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60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60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60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60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60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60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60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60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60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60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60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60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60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60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60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60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60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60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60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60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60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60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60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60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60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60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60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60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60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60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60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60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60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60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60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60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60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60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60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60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60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60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60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60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60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60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60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60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60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60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60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60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60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60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60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60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60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60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60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60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60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60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60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60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60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60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60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60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60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60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60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60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60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60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60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60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60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60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60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60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60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60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60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60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60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60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60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60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60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60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60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60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60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60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60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60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60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60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60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60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60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60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60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60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60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60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60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60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60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60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60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60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60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60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60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60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60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60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60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60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60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60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60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60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60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60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60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60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60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60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60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60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60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60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60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60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60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60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60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60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60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60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60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60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60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60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60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60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60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60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60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60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60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60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60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60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60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60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60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60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60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60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60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60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60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60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60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60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60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60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60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60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60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60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60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60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60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60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60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60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60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60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60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60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60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60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60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60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60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60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60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60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60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60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60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60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60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60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60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60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60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60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60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60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60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60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60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60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60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60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60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60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60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60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60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60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60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60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60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60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60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60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60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60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60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60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60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60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60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60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60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60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60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60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60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60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60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60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60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60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60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60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60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60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60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60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60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60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60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60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60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60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60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60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60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60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60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60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60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60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60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60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60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60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60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60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60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60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60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60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60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60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60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60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60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60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60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60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60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60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60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60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60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60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60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60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60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60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60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60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60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60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60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60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60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60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60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60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60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60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60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60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60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60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60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60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60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60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60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60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60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60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60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60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60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60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60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60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60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60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60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60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60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60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60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60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60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60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60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60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60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60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60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60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60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60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60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60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60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60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60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60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60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60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60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60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60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60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60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60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60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60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60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60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60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60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60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60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60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60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60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60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60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60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60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60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60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60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60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60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60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60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60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60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60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60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60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60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60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60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60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60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60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60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60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60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60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60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60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60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60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60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60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60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60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60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60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60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60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60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60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60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60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60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60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60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60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60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60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60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60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60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60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60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60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60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60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60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60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60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60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60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60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60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60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60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60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60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60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60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60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60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60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60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60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60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60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60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60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60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60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60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60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60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60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60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60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60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60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60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60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60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60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60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60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60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60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60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60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60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60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60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60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60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60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60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60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60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60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60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60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60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60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60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60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60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60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60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60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60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60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60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60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60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60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60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60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60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60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60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60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ustomSheetViews>
    <customSheetView guid="{946B5237-CAA8-4C62-941D-D21A0E0EA77A}" filter="1" showAutoFilter="1">
      <autoFilter ref="$A$1:$E$13"/>
    </customSheetView>
  </customSheetView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6" width="21.14"/>
  </cols>
  <sheetData>
    <row r="1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</row>
    <row r="2">
      <c r="A2" s="5" t="s">
        <v>26</v>
      </c>
      <c r="B2" s="5" t="s">
        <v>27</v>
      </c>
      <c r="C2" s="5" t="s">
        <v>28</v>
      </c>
      <c r="D2" s="5" t="s">
        <v>29</v>
      </c>
    </row>
    <row r="3">
      <c r="A3" s="5"/>
      <c r="B3" s="5"/>
      <c r="C3" s="5"/>
      <c r="D3" s="5" t="str">
        <f>(VLOOKUP(A3,'Códigos'!$A$2:$E$13,2,FALSE)*10+VLOOKUP(B3,'Códigos'!$A$2:$E$13,2,FALSE))*VLOOKUP(C3,'Códigos'!$A$2:$E$13,3,FALSE)</f>
        <v>#N/A</v>
      </c>
    </row>
    <row r="6">
      <c r="A6" s="5" t="s">
        <v>26</v>
      </c>
      <c r="B6" s="5" t="s">
        <v>27</v>
      </c>
      <c r="C6" s="5" t="s">
        <v>28</v>
      </c>
      <c r="D6" s="5" t="s">
        <v>30</v>
      </c>
      <c r="E6" s="5" t="s">
        <v>29</v>
      </c>
      <c r="F6" s="5" t="s">
        <v>31</v>
      </c>
      <c r="G6" s="5" t="s">
        <v>32</v>
      </c>
      <c r="H6" s="5" t="s">
        <v>33</v>
      </c>
    </row>
    <row r="7">
      <c r="A7" s="6" t="s">
        <v>6</v>
      </c>
      <c r="B7" s="6" t="s">
        <v>5</v>
      </c>
      <c r="C7" s="6" t="s">
        <v>7</v>
      </c>
      <c r="D7" s="6" t="s">
        <v>15</v>
      </c>
      <c r="E7" s="5">
        <f>(VLOOKUP(A7,'Códigos'!$A$2:$E$13,2,FALSE)*10+VLOOKUP(B7,'Códigos'!$A$2:$E$13,2,FALSE))*VLOOKUP(C7,'Códigos'!$A$2:$E$13,3,FALSE)</f>
        <v>1000</v>
      </c>
      <c r="F7" s="5">
        <f>VLOOKUP(D7,'Códigos'!$A$2:$E$13,4,FALSE)</f>
        <v>5</v>
      </c>
      <c r="G7" s="5">
        <f>E7*(1-F7/100)</f>
        <v>950</v>
      </c>
      <c r="H7" s="5">
        <f>E7*(1+F7/100)</f>
        <v>1050</v>
      </c>
    </row>
    <row r="10">
      <c r="A10" s="5" t="s">
        <v>26</v>
      </c>
      <c r="B10" s="5" t="s">
        <v>27</v>
      </c>
      <c r="C10" s="5" t="s">
        <v>34</v>
      </c>
      <c r="D10" s="5" t="s">
        <v>35</v>
      </c>
      <c r="E10" s="5" t="s">
        <v>36</v>
      </c>
      <c r="F10" s="5" t="s">
        <v>37</v>
      </c>
      <c r="G10" s="5" t="s">
        <v>29</v>
      </c>
      <c r="H10" s="5" t="s">
        <v>31</v>
      </c>
      <c r="I10" s="5" t="s">
        <v>38</v>
      </c>
    </row>
    <row r="11">
      <c r="A11" s="5"/>
      <c r="B11" s="5"/>
      <c r="C11" s="5"/>
      <c r="D11" s="5"/>
      <c r="E11" s="5"/>
      <c r="F11" s="5"/>
      <c r="G11" s="5" t="str">
        <f>(VLOOKUP(A11,'Códigos'!$A$2:$E$13,2,FALSE)*100+VLOOKUP(B11,'Códigos'!$A$2:$E$13,2,FALSE)*10+VLOOKUP(C11,'Códigos'!$A$2:$E$13,2,FALSE))*VLOOKUP(D11,'Códigos'!$A$2:$E$13,3,FALSE)</f>
        <v>#N/A</v>
      </c>
      <c r="H11" s="5" t="str">
        <f>VLOOKUP(E11,'Códigos'!$A$2:$E$13,4,FALSE)</f>
        <v>#N/A</v>
      </c>
      <c r="I11" s="5" t="str">
        <f>VLOOKUP(F11,'Códigos'!$A$2:$E$13,5,FALSE)</f>
        <v>#N/A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9B95341B-742C-4AC6-94F0-EF6081A2C08E}" filter="1" showAutoFilter="1">
      <autoFilter ref="$A$1:$I$11"/>
    </customSheetView>
  </customSheetViews>
  <dataValidations>
    <dataValidation type="list" allowBlank="1" showErrorMessage="1" sqref="A3:C3 A7:D7 A11:F11">
      <formula1>'Códigos'!$A$2:$A$13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