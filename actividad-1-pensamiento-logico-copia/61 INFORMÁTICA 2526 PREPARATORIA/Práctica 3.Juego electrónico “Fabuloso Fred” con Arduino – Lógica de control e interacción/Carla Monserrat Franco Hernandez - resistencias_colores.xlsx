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0" name="Z_E09D4521_EC3C_4333_BCC8_776F00F3948A_.wvu.FilterData">'Códigos'!$A$1:$E$13</definedName>
    <definedName hidden="1" localSheetId="1" name="Z_F0C88F35_1B26_4C21_9A1A_6D28FAD4357E_.wvu.FilterData">Resistencias!$A$1:$I$11</definedName>
  </definedNames>
  <calcPr/>
  <customWorkbookViews>
    <customWorkbookView activeSheetId="0" maximized="1" windowHeight="0" windowWidth="0" guid="{E09D4521-EC3C-4333-BCC8-776F00F3948A}" name="Tabla2 filter view"/>
    <customWorkbookView activeSheetId="0" maximized="1" windowHeight="0" windowWidth="0" guid="{F0C88F35-1B26-4C21-9A1A-6D28FAD4357E}" name="Tabla3 filter view"/>
  </customWorkbookViews>
</workbook>
</file>

<file path=xl/sharedStrings.xml><?xml version="1.0" encoding="utf-8"?>
<sst xmlns="http://schemas.openxmlformats.org/spreadsheetml/2006/main" count="50" uniqueCount="39">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</sst>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E09D4521-EC3C-4333-BCC8-776F00F3948A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6" t="s">
        <v>6</v>
      </c>
      <c r="B3" s="6" t="s">
        <v>5</v>
      </c>
      <c r="C3" s="6" t="s">
        <v>8</v>
      </c>
      <c r="D3" s="5">
        <f>(VLOOKUP(A3,'Códigos'!$A$2:$E$13,2,FALSE)*10+VLOOKUP(B3,'Códigos'!$A$2:$E$13,2,FALSE))*VLOOKUP(C3,'Códigos'!$A$2:$E$13,3,FALSE)</f>
        <v>10000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5"/>
      <c r="B7" s="5"/>
      <c r="C7" s="5"/>
      <c r="D7" s="5"/>
      <c r="E7" s="5" t="str">
        <f>(VLOOKUP(A7,'Códigos'!$A$2:$E$13,2,FALSE)*10+VLOOKUP(B7,'Códigos'!$A$2:$E$13,2,FALSE))*VLOOKUP(C7,'Códigos'!$A$2:$E$13,3,FALSE)</f>
        <v>#N/A</v>
      </c>
      <c r="F7" s="5" t="str">
        <f>VLOOKUP(D7,'Códigos'!$A$2:$E$13,4,FALSE)</f>
        <v>#N/A</v>
      </c>
      <c r="G7" s="5" t="str">
        <f>E7*(1-F7/100)</f>
        <v>#N/A</v>
      </c>
      <c r="H7" s="5" t="str">
        <f>E7*(1+F7/100)</f>
        <v>#N/A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5"/>
      <c r="B11" s="5"/>
      <c r="C11" s="5"/>
      <c r="D11" s="5"/>
      <c r="E11" s="5"/>
      <c r="F11" s="5"/>
      <c r="G11" s="5" t="str">
        <f>(VLOOKUP(A11,'Códigos'!$A$2:$E$13,2,FALSE)*100+VLOOKUP(B11,'Códigos'!$A$2:$E$13,2,FALSE)*10+VLOOKUP(C11,'Códigos'!$A$2:$E$13,2,FALSE))*VLOOKUP(D11,'Códigos'!$A$2:$E$13,3,FALSE)</f>
        <v>#N/A</v>
      </c>
      <c r="H11" s="5" t="str">
        <f>VLOOKUP(E11,'Códigos'!$A$2:$E$13,4,FALSE)</f>
        <v>#N/A</v>
      </c>
      <c r="I11" s="5" t="str">
        <f>VLOOKUP(F11,'Códigos'!$A$2:$E$13,5,FALSE)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0C88F35-1B26-4C21-9A1A-6D28FAD4357E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