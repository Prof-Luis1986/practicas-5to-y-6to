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5"/>
    <sheet state="visible" name="Resistencias" sheetId="2" r:id="rId6"/>
  </sheets>
  <definedNames>
    <definedName hidden="1" localSheetId="0" name="Z_D926C15A_A04C_42A8_88C9_F88E77A548ED_.wvu.FilterData">'Códigos'!$A$1:$E$13</definedName>
    <definedName hidden="1" localSheetId="1" name="Z_BB670EA6_8169_4151_B38A_DE1523772734_.wvu.FilterData">Resistencias!$A$1:$I$11</definedName>
  </definedNames>
  <calcPr/>
  <customWorkbookViews>
    <customWorkbookView activeSheetId="0" maximized="1" windowHeight="0" windowWidth="0" guid="{D926C15A-A04C-42A8-88C9-F88E77A548ED}" name="Tabla2 filter view"/>
    <customWorkbookView activeSheetId="0" maximized="1" windowHeight="0" windowWidth="0" guid="{BB670EA6-8169-4151-B38A-DE1523772734}" name="Tabla3 filter view"/>
  </customWorkbookViews>
</workbook>
</file>

<file path=xl/sharedStrings.xml><?xml version="1.0" encoding="utf-8"?>
<sst xmlns="http://schemas.openxmlformats.org/spreadsheetml/2006/main" count="50" uniqueCount="39">
  <si>
    <t>Color</t>
  </si>
  <si>
    <t>Digito</t>
  </si>
  <si>
    <t>Multiplicador</t>
  </si>
  <si>
    <t>Tolerancia_%</t>
  </si>
  <si>
    <t>TCR_ppm</t>
  </si>
  <si>
    <t>Negro</t>
  </si>
  <si>
    <t>Marrón</t>
  </si>
  <si>
    <t>Rojo</t>
  </si>
  <si>
    <t>Naranja</t>
  </si>
  <si>
    <t>Amarillo</t>
  </si>
  <si>
    <t>Verde</t>
  </si>
  <si>
    <t>Azul</t>
  </si>
  <si>
    <t>Violeta</t>
  </si>
  <si>
    <t>Gris</t>
  </si>
  <si>
    <t>Blanco</t>
  </si>
  <si>
    <t>Dorado</t>
  </si>
  <si>
    <t>Plateado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</si>
  <si>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</si>
  <si>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</si>
  <si>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</si>
  <si>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</si>
  <si>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</si>
  <si>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</si>
  <si>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</si>
  <si>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</si>
  <si>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</si>
  <si>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Banda 1</t>
  </si>
  <si>
    <t>Banda 2</t>
  </si>
  <si>
    <t>Banda 3 (Multiplicador)</t>
  </si>
  <si>
    <t>Resultado (ohmios)</t>
  </si>
  <si>
    <t>Banda 4 (Tolerancia)</t>
  </si>
  <si>
    <t>Tolerancia %</t>
  </si>
  <si>
    <t>Mínimo</t>
  </si>
  <si>
    <t>Máximo</t>
  </si>
  <si>
    <t>Banda 3</t>
  </si>
  <si>
    <t>Banda 4 (Multiplicador)</t>
  </si>
  <si>
    <t>Banda 5 (Tolerancia)</t>
  </si>
  <si>
    <t>Banda 6 (TCR)</t>
  </si>
  <si>
    <t>TCR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</si>
</sst>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rgb="FFFFFFFF"/>
      <name val="Calibri"/>
    </font>
    <font>
      <b/>
      <sz val="2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Códi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stencias-style">
      <tableStyleElement dxfId="5" type="headerRow"/>
      <tableStyleElement dxfId="6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2" name="Tabla2" id="1">
  <tableColumns count="5">
    <tableColumn name="Color" id="1"/>
    <tableColumn name="Digito" id="2"/>
    <tableColumn name="Multiplicador" id="3"/>
    <tableColumn name="Tolerancia_%" id="4"/>
    <tableColumn name="TCR_ppm" id="5"/>
  </tableColumns>
  <tableStyleInfo name="Códigos-style" showColumnStripes="0" showFirstColumn="1" showLastColumn="1" showRowStripes="1"/>
</table>
</file>

<file path=xl/tables/table2.xml><?xml version="1.0" encoding="utf-8"?>
<table xmlns="http://schemas.openxmlformats.org/spreadsheetml/2006/main" ref="A1:I11" displayName="Tabla3" name="Tabla3" id="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Resist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32.0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 t="s">
        <v>5</v>
      </c>
      <c r="B2" s="3">
        <v>0.0</v>
      </c>
      <c r="C2" s="3">
        <v>1.0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3" t="s">
        <v>6</v>
      </c>
      <c r="B3" s="3">
        <v>1.0</v>
      </c>
      <c r="C3" s="3">
        <v>10.0</v>
      </c>
      <c r="D3" s="3">
        <v>1.0</v>
      </c>
      <c r="E3" s="3">
        <v>100.0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75" customHeight="1">
      <c r="A4" s="3" t="s">
        <v>7</v>
      </c>
      <c r="B4" s="3">
        <v>2.0</v>
      </c>
      <c r="C4" s="3">
        <v>100.0</v>
      </c>
      <c r="D4" s="3">
        <v>2.0</v>
      </c>
      <c r="E4" s="3">
        <v>50.0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3" t="s">
        <v>8</v>
      </c>
      <c r="B5" s="3">
        <v>3.0</v>
      </c>
      <c r="C5" s="3">
        <v>1000.0</v>
      </c>
      <c r="D5" s="3"/>
      <c r="E5" s="3">
        <v>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 t="s">
        <v>9</v>
      </c>
      <c r="B6" s="3">
        <v>4.0</v>
      </c>
      <c r="C6" s="3">
        <v>10000.0</v>
      </c>
      <c r="D6" s="3"/>
      <c r="E6" s="3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75" customHeight="1">
      <c r="A7" s="3" t="s">
        <v>10</v>
      </c>
      <c r="B7" s="3">
        <v>5.0</v>
      </c>
      <c r="C7" s="3">
        <v>100000.0</v>
      </c>
      <c r="D7" s="3">
        <v>0.5</v>
      </c>
      <c r="E7" s="3">
        <v>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75" customHeight="1">
      <c r="A8" s="3" t="s">
        <v>11</v>
      </c>
      <c r="B8" s="3">
        <v>6.0</v>
      </c>
      <c r="C8" s="3">
        <v>1000000.0</v>
      </c>
      <c r="D8" s="3">
        <v>0.25</v>
      </c>
      <c r="E8" s="3">
        <v>10.0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3" t="s">
        <v>12</v>
      </c>
      <c r="B9" s="3">
        <v>7.0</v>
      </c>
      <c r="C9" s="3">
        <v>1.0E7</v>
      </c>
      <c r="D9" s="3">
        <v>0.1</v>
      </c>
      <c r="E9" s="3">
        <v>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75" customHeight="1">
      <c r="A10" s="3" t="s">
        <v>13</v>
      </c>
      <c r="B10" s="3">
        <v>8.0</v>
      </c>
      <c r="C10" s="3">
        <v>1.0E8</v>
      </c>
      <c r="D10" s="3">
        <v>0.05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75" customHeight="1">
      <c r="A11" s="3" t="s">
        <v>14</v>
      </c>
      <c r="B11" s="3">
        <v>9.0</v>
      </c>
      <c r="C11" s="3">
        <v>1.0E9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75" customHeight="1">
      <c r="A12" s="3" t="s">
        <v>15</v>
      </c>
      <c r="B12" s="3"/>
      <c r="C12" s="3">
        <v>0.1</v>
      </c>
      <c r="D12" s="3">
        <v>5.0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75" customHeight="1">
      <c r="A13" s="3" t="s">
        <v>16</v>
      </c>
      <c r="B13" s="3"/>
      <c r="C13" s="3">
        <v>0.01</v>
      </c>
      <c r="D13" s="3">
        <v>10.0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6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6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6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6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6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6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6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6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6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6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6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6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6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6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6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6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6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6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6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6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6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6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6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6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6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6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6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6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6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6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6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6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6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6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6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6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6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6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6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6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6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6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6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6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6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6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6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6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6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6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6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6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6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6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6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6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6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6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6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6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6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6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6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6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6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6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6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6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6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6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6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6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6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6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6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6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6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6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6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6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6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6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6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6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6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6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6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6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6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6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6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6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6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6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6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6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6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6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6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6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6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6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6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6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6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6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6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6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6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6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6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6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6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6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6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6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6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6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6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6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6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6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6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6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6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6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6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6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6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6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6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6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6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6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6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6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6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6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6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6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6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6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6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6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6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6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6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6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6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6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6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6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6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6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6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6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6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6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6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6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6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6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6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6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6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6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6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6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6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6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6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6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6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6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6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6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6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6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6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6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6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6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6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6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6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6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6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6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6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6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6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6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6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6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6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6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6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6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6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6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6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6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6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6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6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6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6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6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6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6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6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6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6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6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6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6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6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6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6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6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6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6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6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6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6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6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6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6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6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6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6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6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6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6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6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6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6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6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6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6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6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6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6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6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6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6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6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6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6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6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6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6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6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6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6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6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6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6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6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6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6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6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6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6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6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6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6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6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6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6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6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6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6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6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6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6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6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6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6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6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6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6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6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6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6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6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6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6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6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6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6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6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6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6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6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6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6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6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6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6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6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6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6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6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6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6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6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6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6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6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6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6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6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6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6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6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6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6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6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6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6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6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6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6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6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6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6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6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6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6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6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6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6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6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6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6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6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6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6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6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6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6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6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6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6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6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6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6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6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6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6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6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6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6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6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6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6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6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6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6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6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6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6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6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6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6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6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6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6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6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6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6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6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6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6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6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6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6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6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6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6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6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6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6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6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6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6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6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6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6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6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6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6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6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6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6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6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6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6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6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6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6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6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6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6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6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6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6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6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6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6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6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6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6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6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6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6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6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6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6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6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6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6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6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6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6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6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6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6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6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6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6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6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6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6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6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6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6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6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6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6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6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6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6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6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6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6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6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6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6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6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6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6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6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6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6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6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6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6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6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6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6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6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6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6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6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6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6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6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6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6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6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6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6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6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6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6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6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6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6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6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6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6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6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6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6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6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6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6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6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6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6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6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6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6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6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6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6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6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6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6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6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6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6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6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6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6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6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6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6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6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6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6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6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6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6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6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6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6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6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6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6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6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6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6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6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6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6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6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6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6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6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6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6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6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6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6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6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6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6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6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6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6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6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6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6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6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6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6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6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6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6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6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6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6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6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6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6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6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6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6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6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6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6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6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6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6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6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6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6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6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6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6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6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6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6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6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6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6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6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6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6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6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6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6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6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6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6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6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6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6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6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6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6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6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6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6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6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6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6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6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6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6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6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6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6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6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6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6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6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6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6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6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6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6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6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6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6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6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6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6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6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6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6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6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6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6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6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6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6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6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6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6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6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6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6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6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6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6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6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6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6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6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6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6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6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6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6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6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6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6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6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6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6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6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6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6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6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6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6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6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6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6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6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6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6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6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6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6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6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6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6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6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6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6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6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6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6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6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6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6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6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6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6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6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6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6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6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6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6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6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6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6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6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6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6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6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6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6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6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6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6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6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6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6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6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6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6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6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6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6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6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6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6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6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6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6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6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6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6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6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6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6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6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6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6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6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6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6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6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6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6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6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6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6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6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6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6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6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6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6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6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6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6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6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6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6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6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6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6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6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6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6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6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6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6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6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6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6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6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6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6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6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6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6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6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6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6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6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6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6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6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6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6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6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6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6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6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6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6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6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6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6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6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6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6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6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6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6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6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6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6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6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6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6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6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6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6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6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6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6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6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6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6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6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6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6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6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6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6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6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6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6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6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6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6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6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6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6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6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6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6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6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6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6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6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6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6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6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6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6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6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6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6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6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6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6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6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6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6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6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6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6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6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6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6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6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6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6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6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6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6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6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6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6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6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6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6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D926C15A-A04C-42A8-88C9-F88E77A548ED}" filter="1" showAutoFilter="1">
      <autoFilter ref="$A$1:$E$1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14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</row>
    <row r="3">
      <c r="A3" s="6" t="s">
        <v>6</v>
      </c>
      <c r="B3" s="6" t="s">
        <v>7</v>
      </c>
      <c r="C3" s="6" t="s">
        <v>15</v>
      </c>
      <c r="D3" s="5">
        <f>(VLOOKUP(A3,'Códigos'!$A$2:$E$13,2,FALSE)*10+VLOOKUP(B3,'Códigos'!$A$2:$E$13,2,FALSE))*VLOOKUP(C3,'Códigos'!$A$2:$E$13,3,FALSE)</f>
        <v>1.2</v>
      </c>
    </row>
    <row r="6">
      <c r="A6" s="5" t="s">
        <v>26</v>
      </c>
      <c r="B6" s="5" t="s">
        <v>27</v>
      </c>
      <c r="C6" s="5" t="s">
        <v>28</v>
      </c>
      <c r="D6" s="5" t="s">
        <v>30</v>
      </c>
      <c r="E6" s="5" t="s">
        <v>29</v>
      </c>
      <c r="F6" s="5" t="s">
        <v>31</v>
      </c>
      <c r="G6" s="5" t="s">
        <v>32</v>
      </c>
      <c r="H6" s="5" t="s">
        <v>33</v>
      </c>
    </row>
    <row r="7">
      <c r="A7" s="5"/>
      <c r="B7" s="5"/>
      <c r="C7" s="5"/>
      <c r="D7" s="5"/>
      <c r="E7" s="5" t="str">
        <f>(VLOOKUP(A7,'Códigos'!$A$2:$E$13,2,FALSE)*10+VLOOKUP(B7,'Códigos'!$A$2:$E$13,2,FALSE))*VLOOKUP(C7,'Códigos'!$A$2:$E$13,3,FALSE)</f>
        <v>#N/A</v>
      </c>
      <c r="F7" s="5" t="str">
        <f>VLOOKUP(D7,'Códigos'!$A$2:$E$13,4,FALSE)</f>
        <v>#N/A</v>
      </c>
      <c r="G7" s="5" t="str">
        <f>E7*(1-F7/100)</f>
        <v>#N/A</v>
      </c>
      <c r="H7" s="5" t="str">
        <f>E7*(1+F7/100)</f>
        <v>#N/A</v>
      </c>
    </row>
    <row r="10">
      <c r="A10" s="5" t="s">
        <v>26</v>
      </c>
      <c r="B10" s="5" t="s">
        <v>27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29</v>
      </c>
      <c r="H10" s="5" t="s">
        <v>31</v>
      </c>
      <c r="I10" s="5" t="s">
        <v>38</v>
      </c>
    </row>
    <row r="11">
      <c r="A11" s="5"/>
      <c r="B11" s="5"/>
      <c r="C11" s="5"/>
      <c r="D11" s="5"/>
      <c r="E11" s="5"/>
      <c r="F11" s="5"/>
      <c r="G11" s="5" t="str">
        <f>(VLOOKUP(A11,'Códigos'!$A$2:$E$13,2,FALSE)*100+VLOOKUP(B11,'Códigos'!$A$2:$E$13,2,FALSE)*10+VLOOKUP(C11,'Códigos'!$A$2:$E$13,2,FALSE))*VLOOKUP(D11,'Códigos'!$A$2:$E$13,3,FALSE)</f>
        <v>#N/A</v>
      </c>
      <c r="H11" s="5" t="str">
        <f>VLOOKUP(E11,'Códigos'!$A$2:$E$13,4,FALSE)</f>
        <v>#N/A</v>
      </c>
      <c r="I11" s="5" t="str">
        <f>VLOOKUP(F11,'Códigos'!$A$2:$E$13,5,FALSE)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B670EA6-8169-4151-B38A-DE1523772734}" filter="1" showAutoFilter="1">
      <autoFilter ref="$A$1:$I$11"/>
    </customSheetView>
  </customSheetViews>
  <dataValidations>
    <dataValidation type="list" allowBlank="1" showErrorMessage="1" sqref="A3:C3 A7:D7 A11:F11">
      <formula1>'Códigos'!$A$2:$A$13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