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1" name="Z_F5B101F0_C06B_43D9_9658_515DB0610C43_.wvu.FilterData">Resistencias!$A$1:$I$11</definedName>
    <definedName hidden="1" localSheetId="0" name="Z_B233DA36_6C76_4F9D_B943_56D6417269BA_.wvu.FilterData">'Códigos'!$A$1:$E$13</definedName>
  </definedNames>
  <calcPr/>
  <customWorkbookViews>
    <customWorkbookView activeSheetId="0" maximized="1" windowHeight="0" windowWidth="0" guid="{B233DA36-6C76-4F9D-B943-56D6417269BA}" name="Tabla2 filter view"/>
    <customWorkbookView activeSheetId="0" maximized="1" windowHeight="0" windowWidth="0" guid="{F5B101F0-C06B-43D9-9658-515DB0610C43}" name="Tabla3 filter view"/>
  </customWorkbookViews>
</workbook>
</file>

<file path=xl/sharedStrings.xml><?xml version="1.0" encoding="utf-8"?>
<sst xmlns="http://schemas.openxmlformats.org/spreadsheetml/2006/main" count="60" uniqueCount="39">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</sst>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B233DA36-6C76-4F9D-B943-56D6417269BA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7</v>
      </c>
      <c r="C3" s="6" t="s">
        <v>15</v>
      </c>
      <c r="D3" s="5">
        <f>(VLOOKUP(A3,'Códigos'!$A$2:$E$13,2,FALSE)*10+VLOOKUP(B3,'Códigos'!$A$2:$E$13,2,FALSE))*VLOOKUP(C3,'Códigos'!$A$2:$E$13,3,FALSE)</f>
        <v>1.2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6" t="s">
        <v>7</v>
      </c>
      <c r="B7" s="6" t="s">
        <v>11</v>
      </c>
      <c r="C7" s="6" t="s">
        <v>15</v>
      </c>
      <c r="D7" s="6" t="s">
        <v>7</v>
      </c>
      <c r="E7" s="5">
        <f>(VLOOKUP(A7,'Códigos'!$A$2:$E$13,2,FALSE)*10+VLOOKUP(B7,'Códigos'!$A$2:$E$13,2,FALSE))*VLOOKUP(C7,'Códigos'!$A$2:$E$13,3,FALSE)</f>
        <v>2.6</v>
      </c>
      <c r="F7" s="5">
        <f>VLOOKUP(D7,'Códigos'!$A$2:$E$13,4,FALSE)</f>
        <v>2</v>
      </c>
      <c r="G7" s="5">
        <f>E7*(1-F7/100)</f>
        <v>2.548</v>
      </c>
      <c r="H7" s="5">
        <f>E7*(1+F7/100)</f>
        <v>2.652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6" t="s">
        <v>7</v>
      </c>
      <c r="B11" s="6" t="s">
        <v>12</v>
      </c>
      <c r="C11" s="6" t="s">
        <v>7</v>
      </c>
      <c r="D11" s="6" t="s">
        <v>15</v>
      </c>
      <c r="E11" s="6" t="s">
        <v>15</v>
      </c>
      <c r="F11" s="6" t="s">
        <v>6</v>
      </c>
      <c r="G11" s="5">
        <f>(VLOOKUP(A11,'Códigos'!$A$2:$E$13,2,FALSE)*100+VLOOKUP(B11,'Códigos'!$A$2:$E$13,2,FALSE)*10+VLOOKUP(C11,'Códigos'!$A$2:$E$13,2,FALSE))*VLOOKUP(D11,'Códigos'!$A$2:$E$13,3,FALSE)</f>
        <v>27.2</v>
      </c>
      <c r="H11" s="5">
        <f>VLOOKUP(E11,'Códigos'!$A$2:$E$13,4,FALSE)</f>
        <v>5</v>
      </c>
      <c r="I11" s="5">
        <f>VLOOKUP(F11,'Códigos'!$A$2:$E$13,5,FALSE)</f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5B101F0-C06B-43D9-9658-515DB0610C43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